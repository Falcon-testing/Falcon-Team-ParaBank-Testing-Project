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gorg\OneDrive\Desktop\work\software\technical\Software tester\project\login\"/>
    </mc:Choice>
  </mc:AlternateContent>
  <xr:revisionPtr revIDLastSave="0" documentId="13_ncr:1_{1145DBEC-194E-493A-9D6B-E355BB826BC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C" sheetId="1" r:id="rId1"/>
    <sheet name="Bug" sheetId="2" r:id="rId2"/>
    <sheet name="DT" sheetId="4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2" l="1" a="1"/>
  <c r="K3" i="2" s="1"/>
  <c r="K4" i="2" a="1"/>
  <c r="K4" i="2" s="1"/>
  <c r="K5" i="2" a="1"/>
  <c r="K5" i="2" s="1"/>
  <c r="K6" i="2" a="1"/>
  <c r="K6" i="2" s="1"/>
  <c r="K7" i="2" a="1"/>
  <c r="K7" i="2" s="1"/>
  <c r="K8" i="2" a="1"/>
  <c r="K8" i="2" s="1"/>
  <c r="K9" i="2" a="1"/>
  <c r="K9" i="2" s="1"/>
  <c r="K10" i="2" a="1"/>
  <c r="K10" i="2" s="1"/>
  <c r="K11" i="2" a="1"/>
  <c r="K11" i="2" s="1"/>
  <c r="K2" i="2" a="1"/>
  <c r="K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<sst xmlns="http://schemas.openxmlformats.org/spreadsheetml/2006/main" count="373" uniqueCount="148">
  <si>
    <t>TC ID</t>
  </si>
  <si>
    <t>TC Title</t>
  </si>
  <si>
    <t>TC Scenario</t>
  </si>
  <si>
    <t>TC Steps</t>
  </si>
  <si>
    <t>TC Data</t>
  </si>
  <si>
    <t>Expected Result</t>
  </si>
  <si>
    <t>Actual Result</t>
  </si>
  <si>
    <t xml:space="preserve">TC Status </t>
  </si>
  <si>
    <t>Pre Condition</t>
  </si>
  <si>
    <t>Priority</t>
  </si>
  <si>
    <t>Severity</t>
  </si>
  <si>
    <t>Bug ID</t>
  </si>
  <si>
    <t>Major</t>
  </si>
  <si>
    <t>The user can enter the home page after entering the correct username and password.</t>
  </si>
  <si>
    <t>Entering Home page</t>
  </si>
  <si>
    <t>Bug Scenario</t>
  </si>
  <si>
    <t>Steps to procceed</t>
  </si>
  <si>
    <t xml:space="preserve">Bug Status </t>
  </si>
  <si>
    <t>Assigned to</t>
  </si>
  <si>
    <t>passed</t>
  </si>
  <si>
    <t>Low</t>
  </si>
  <si>
    <t>Attachment</t>
  </si>
  <si>
    <t>TC_Auth_001</t>
  </si>
  <si>
    <t>High</t>
  </si>
  <si>
    <t>Get an error message"Please enter a username and password."</t>
  </si>
  <si>
    <t>Get an error message"The username and password could not be verified."</t>
  </si>
  <si>
    <t>Validate Login func using invalid username and valid password</t>
  </si>
  <si>
    <t>Validate Login func using blank username &amp; password</t>
  </si>
  <si>
    <t>1-Click login button</t>
  </si>
  <si>
    <t>Open</t>
  </si>
  <si>
    <t>Failed</t>
  </si>
  <si>
    <t>BUG_001</t>
  </si>
  <si>
    <t>Get an error message
"The username and password could not be verified."</t>
  </si>
  <si>
    <t>Medium</t>
  </si>
  <si>
    <t>1-Stable network
2-open site url in chorme
3-Go to login page</t>
  </si>
  <si>
    <t>Frequency</t>
  </si>
  <si>
    <t>Every Time</t>
  </si>
  <si>
    <t>Developer</t>
  </si>
  <si>
    <t>N/A</t>
  </si>
  <si>
    <t>1-Enter verified &amp; valid username
2-Enter verified &amp; valid password
3-Click login button</t>
  </si>
  <si>
    <t>1-Username "V"
2-Password  "P@ssw0rd"</t>
  </si>
  <si>
    <t>1-Enter invalid username
2-Enter verified &amp; valid password
3-Click login button</t>
  </si>
  <si>
    <t>Validate Login func using verified &amp; Valid user &amp; pass</t>
  </si>
  <si>
    <t>1-Enter unverified &amp; valid username
2-Enter unverified &amp; valid password
3-Click login button</t>
  </si>
  <si>
    <t>1-Username "aValid"
2-Password  "P@ssw0rd6"</t>
  </si>
  <si>
    <t>1-Username "VA"
2-Password  "P@ssw0rd"</t>
  </si>
  <si>
    <t xml:space="preserve">System Show an error message after press on login button"The username and password could not be verified" </t>
  </si>
  <si>
    <t xml:space="preserve">System Show an error message after press on login button"Please enter a username and password" </t>
  </si>
  <si>
    <t>1-Username "Keriksomgngjjfhfhyrierherher"
2-Password  "P@ssw0rd"</t>
  </si>
  <si>
    <t>1-Username "Keriksomgngjjfhfhyrierherherll"
2-Password  "P@ssw0rd"</t>
  </si>
  <si>
    <t>1-Username "Keriksomgngjjfhfhyrierherherlll"
2-Password  "P@ssw0rd"</t>
  </si>
  <si>
    <t>Validate Login func using verified valid username and valid password</t>
  </si>
  <si>
    <t>Validate Login func using valid username and invalid password</t>
  </si>
  <si>
    <t>1-Enter valid username
2-Enter invalid password
3-Click login button</t>
  </si>
  <si>
    <t>1-Username "Valid"
2-Password  "P@ssw0r"</t>
  </si>
  <si>
    <t>1-Username "Valid"
2-Password  "P@ssw0rhg6"</t>
  </si>
  <si>
    <t>1-Username "Valid"
2-Password  "P@ssw0rd4535"</t>
  </si>
  <si>
    <t>Validate Login func using valid username and valid password</t>
  </si>
  <si>
    <t>1-Username "Valid"
2-Password  "P@ssw0rd56565"</t>
  </si>
  <si>
    <t>1-Username "Valid"
2-Password  "p@ssw0rd"</t>
  </si>
  <si>
    <t>1-Username "Valid"
2-Password  "Passw0rd"</t>
  </si>
  <si>
    <t>1-Username "Valid"
2-Password  "P@ssword"</t>
  </si>
  <si>
    <t>1-Username "Valid"
2-Password  "password"</t>
  </si>
  <si>
    <t>1-Enter verified &amp; valid username
2-Enter invalid password
3-Click login button</t>
  </si>
  <si>
    <t>Validate Login func using invalid username and invalid password</t>
  </si>
  <si>
    <t>1-Enter invalid username
2-Enter invalid password
3-Click login button</t>
  </si>
  <si>
    <t>1-Username "jdshfksdjfsdydhfkjsdhfksjdfyydskjlfhsValid"
2-Password  "password"</t>
  </si>
  <si>
    <t>TC_Auth_002</t>
  </si>
  <si>
    <t>TC_Auth_003</t>
  </si>
  <si>
    <t>TC_Auth_004</t>
  </si>
  <si>
    <t>TC_Auth_005</t>
  </si>
  <si>
    <t>TC_Auth_006</t>
  </si>
  <si>
    <t>TC_Auth_007</t>
  </si>
  <si>
    <t>TC_Auth_008</t>
  </si>
  <si>
    <t>TC_Auth_009</t>
  </si>
  <si>
    <t>TC_Auth_010</t>
  </si>
  <si>
    <t>TC_Auth_011</t>
  </si>
  <si>
    <t>TC_Auth_012</t>
  </si>
  <si>
    <t>TC_Auth_013</t>
  </si>
  <si>
    <t>TC_Auth_014</t>
  </si>
  <si>
    <t>TC_Auth_015</t>
  </si>
  <si>
    <t>TC_Auth_016</t>
  </si>
  <si>
    <t>TC_Auth_017</t>
  </si>
  <si>
    <t>TC_Auth_018</t>
  </si>
  <si>
    <t>BUG_002</t>
  </si>
  <si>
    <t>Validate Login func using invalid username 1 char and valid password</t>
  </si>
  <si>
    <t>Validate Login func using verified &amp; valid username and password</t>
  </si>
  <si>
    <t>Validate Login func using verified &amp; valid username char and valid password</t>
  </si>
  <si>
    <t>Validate Login func using invalid username not accept special and valid password</t>
  </si>
  <si>
    <t>Validate Login func using unverified &amp; Valid user and pass</t>
  </si>
  <si>
    <t>TC_Auth_019</t>
  </si>
  <si>
    <t>TC_Auth_020</t>
  </si>
  <si>
    <t>1-Username " Valid"
2-Password  "P@ssw0rd"</t>
  </si>
  <si>
    <t>1-Username "Valid56"
2-Password  "P@ssw0rd"</t>
  </si>
  <si>
    <t>Validate Login func using  invalid user &amp; valid pass</t>
  </si>
  <si>
    <t>1-Username "566"
2-Password  "P@ssw0rd"</t>
  </si>
  <si>
    <t>1-Enter verified &amp; username
2-Enter invalid password
3-Click login button</t>
  </si>
  <si>
    <t>Validate Login func using valid user &amp; invalid pass</t>
  </si>
  <si>
    <t>1-Username "valid 566"
2-Password  "5565855458"</t>
  </si>
  <si>
    <t>Get an error message
"This username already exists."</t>
  </si>
  <si>
    <t>BUG_004</t>
  </si>
  <si>
    <t>Validate system behavior when entering 31 characters in Username field</t>
  </si>
  <si>
    <t>Error: “Username must not exceed 30 characters.”</t>
  </si>
  <si>
    <t>Error: “This username already exists.”</t>
  </si>
  <si>
    <t>Validate system behavior when entering 7 characters in Password field</t>
  </si>
  <si>
    <t>Error: “Password must be at least 8 characters long.”</t>
  </si>
  <si>
    <t>Your account was created successfully. You are now logged in.</t>
  </si>
  <si>
    <t>BUG_003</t>
  </si>
  <si>
    <t>Related TC ID</t>
  </si>
  <si>
    <t>Validate system behavior when entering 28-30 characters in Username field</t>
  </si>
  <si>
    <t>Error: “Username should be accepted.”</t>
  </si>
  <si>
    <t>Validate system behavior when entering 13 characters in Password field</t>
  </si>
  <si>
    <t>Error: “Password must not exceed 12 characters.”</t>
  </si>
  <si>
    <t>BUG_005</t>
  </si>
  <si>
    <t>Validate system behavior when entering 1 character in Username field</t>
  </si>
  <si>
    <t>Error: “Username must be at least 2 characters.”</t>
  </si>
  <si>
    <t>Validate system behavior when username contains invalid special characters</t>
  </si>
  <si>
    <t>Error: “Username must contain only letters or numbers.”</t>
  </si>
  <si>
    <t>BUG_006</t>
  </si>
  <si>
    <t>BUG_007</t>
  </si>
  <si>
    <t>Error: “Password must contain Upper characters .”</t>
  </si>
  <si>
    <t>1. Stable network
2. Open site URL in Chrome
3. Go to login page
4. Enter Username = "max@123"
5. Enter valid data in all other fields
6. Click "Login"</t>
  </si>
  <si>
    <t>1. Stable network
2. Open site URL in Chrome
3. Go to login page
4. Enter 30-character Username
5. Click "Login"</t>
  </si>
  <si>
    <t>1. Stable network
2. Open site URL in Chrome
3. Go to login page
4. Enter 31-character Username
5. Click "Login"</t>
  </si>
  <si>
    <t>1. Stable network
2. Open site URL in Chrome
3. Go to login page
4. Enter Password = "P@ssw0r"
5. Click "Login"</t>
  </si>
  <si>
    <t>1. Stable network
2. Open site URL in Chrome
3. Go to login page
4. Enter Password = "P@ssw0rd56565"
5. Click "Login"</t>
  </si>
  <si>
    <t>1. Stable network
2. Open site URL in Chrome
3. Go to login page
4. Enter Password = "p@ssw0rd"
5. Click "Login"</t>
  </si>
  <si>
    <t>Validate system behavior when entering Password in Special Form"P@ssw0rd"</t>
  </si>
  <si>
    <t>BUG_008</t>
  </si>
  <si>
    <t>Error: “Password must contain special characters .”</t>
  </si>
  <si>
    <t>1. Stable network
2. Open site URL in Chrome
3. Go to login page
4. Enter Password = "Passw0rd"
5. Click "Login"</t>
  </si>
  <si>
    <t>BUG_009</t>
  </si>
  <si>
    <t>BUG_010</t>
  </si>
  <si>
    <t>1. Stable network
2. Open site URL in Chrome
3. Go to login page
4. Enter Password = "P@ssword"
5. Click "Login"</t>
  </si>
  <si>
    <t>Error: “Password must contain number .”</t>
  </si>
  <si>
    <t>1. Stable network
2. Open site URL in Chrome
3. Go to login page
4. Enter Username = "V"
5. Click "Login"</t>
  </si>
  <si>
    <t>Validate system behavior when not entering Password in Special Form"P@ssw0rd"</t>
  </si>
  <si>
    <t>1. Stable network
2. Open site URL in Chrome
3. Go to login page
4. Enter Password = "password"
5. Click "Login"</t>
  </si>
  <si>
    <t>Error: “invalid password .”</t>
  </si>
  <si>
    <t>Critical</t>
  </si>
  <si>
    <t>Cod\TC</t>
  </si>
  <si>
    <t>TC1</t>
  </si>
  <si>
    <t>TC3</t>
  </si>
  <si>
    <t>TC4</t>
  </si>
  <si>
    <t>Username</t>
  </si>
  <si>
    <t>Password</t>
  </si>
  <si>
    <t>Total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</si>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</sst>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6" fillId="7" borderId="3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7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0" fillId="10" borderId="0" xfId="0" applyFont="1" applyFill="1"/>
    <xf numFmtId="0" fontId="10" fillId="0" borderId="0" xfId="0" applyFont="1"/>
    <xf numFmtId="0" fontId="10" fillId="10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17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numFmt numFmtId="30" formatCode="@"/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 patternType="solid">
          <fgColor theme="0"/>
          <bgColor theme="1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externalLink" Target="externalLinks/externalLink1.xml"/><Relationship Id="rId9" Type="http://schemas.microsoft.com/office/2022/10/relationships/richValueRel" Target="richData/richValueRel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C"/>
      <sheetName val="Bug"/>
      <sheetName val="DT"/>
      <sheetName val="BUG "/>
      <sheetName val="Sheet1"/>
    </sheetNames>
    <sheetDataSet>
      <sheetData sheetId="0">
        <row r="1">
          <cell r="A1" t="str">
            <v>TC ID</v>
          </cell>
          <cell r="L1" t="str">
            <v>Bug ID</v>
          </cell>
        </row>
        <row r="2">
          <cell r="A2" t="str">
            <v>TC_Auth_001</v>
          </cell>
          <cell r="L2" t="str">
            <v>N/A</v>
          </cell>
        </row>
        <row r="3">
          <cell r="A3" t="str">
            <v>TC_Auth_002</v>
          </cell>
          <cell r="L3" t="str">
            <v>BUG_001</v>
          </cell>
        </row>
        <row r="4">
          <cell r="A4" t="str">
            <v>TC_Auth_003</v>
          </cell>
          <cell r="L4" t="str">
            <v>N/A</v>
          </cell>
        </row>
        <row r="5">
          <cell r="A5" t="str">
            <v>TC_Auth_004</v>
          </cell>
          <cell r="L5" t="str">
            <v>BUG_003</v>
          </cell>
        </row>
        <row r="6">
          <cell r="A6" t="str">
            <v>TC_Auth_005</v>
          </cell>
          <cell r="L6" t="str">
            <v>BUG_003</v>
          </cell>
        </row>
        <row r="7">
          <cell r="A7" t="str">
            <v>TC_Auth_006</v>
          </cell>
          <cell r="L7" t="str">
            <v>BUG_004</v>
          </cell>
        </row>
        <row r="8">
          <cell r="A8" t="str">
            <v>TC_Auth_007</v>
          </cell>
          <cell r="L8" t="str">
            <v>BUG_002</v>
          </cell>
        </row>
        <row r="9">
          <cell r="A9" t="str">
            <v>TC_Auth_008</v>
          </cell>
          <cell r="L9" t="str">
            <v>BUG_005</v>
          </cell>
        </row>
        <row r="10">
          <cell r="A10" t="str">
            <v>TC_Auth_009</v>
          </cell>
          <cell r="L10" t="str">
            <v>N/A</v>
          </cell>
        </row>
        <row r="11">
          <cell r="A11" t="str">
            <v>TC_Auth_010</v>
          </cell>
          <cell r="L11" t="str">
            <v>N/A</v>
          </cell>
        </row>
        <row r="12">
          <cell r="A12" t="str">
            <v>TC_Auth_011</v>
          </cell>
          <cell r="L12" t="str">
            <v>BUG_006</v>
          </cell>
        </row>
        <row r="13">
          <cell r="A13" t="str">
            <v>TC_Auth_012</v>
          </cell>
          <cell r="L13" t="str">
            <v>BUG_007</v>
          </cell>
        </row>
        <row r="14">
          <cell r="A14" t="str">
            <v>TC_Auth_013</v>
          </cell>
          <cell r="L14" t="str">
            <v>BUG_008</v>
          </cell>
        </row>
        <row r="15">
          <cell r="A15" t="str">
            <v>TC_Auth_014</v>
          </cell>
          <cell r="L15" t="str">
            <v>BUG_009</v>
          </cell>
        </row>
        <row r="16">
          <cell r="A16" t="str">
            <v>TC_Auth_015</v>
          </cell>
          <cell r="L16" t="str">
            <v>BUG_010</v>
          </cell>
        </row>
        <row r="17">
          <cell r="A17" t="str">
            <v>TC_Auth_016</v>
          </cell>
          <cell r="L17" t="str">
            <v>N/A</v>
          </cell>
        </row>
        <row r="18">
          <cell r="A18" t="str">
            <v>TC_Auth_017</v>
          </cell>
          <cell r="L18" t="str">
            <v>N/A</v>
          </cell>
        </row>
        <row r="19">
          <cell r="A19" t="str">
            <v>TC_Auth_018</v>
          </cell>
          <cell r="L19" t="str">
            <v>N/A</v>
          </cell>
        </row>
        <row r="20">
          <cell r="A20" t="str">
            <v>TC_Auth_019</v>
          </cell>
          <cell r="L20" t="str">
            <v>BUG_002</v>
          </cell>
        </row>
        <row r="21">
          <cell r="A21" t="str">
            <v>TC_Auth_020</v>
          </cell>
          <cell r="L21" t="str">
            <v>BUG_002</v>
          </cell>
        </row>
        <row r="22">
          <cell r="A22"/>
          <cell r="L22"/>
        </row>
        <row r="23">
          <cell r="A23"/>
          <cell r="L23"/>
        </row>
        <row r="24">
          <cell r="A24"/>
          <cell r="L24"/>
        </row>
        <row r="25">
          <cell r="A25"/>
          <cell r="L25"/>
        </row>
        <row r="26">
          <cell r="A26"/>
          <cell r="L26"/>
        </row>
        <row r="27">
          <cell r="A27"/>
          <cell r="L27"/>
        </row>
        <row r="28">
          <cell r="A28"/>
          <cell r="L28"/>
        </row>
        <row r="29">
          <cell r="A29"/>
          <cell r="L29"/>
        </row>
        <row r="30">
          <cell r="A30"/>
          <cell r="L30"/>
        </row>
        <row r="31">
          <cell r="A31"/>
          <cell r="L31"/>
        </row>
        <row r="32">
          <cell r="A32"/>
          <cell r="L32"/>
        </row>
        <row r="33">
          <cell r="A33"/>
          <cell r="L33"/>
        </row>
        <row r="34">
          <cell r="A34"/>
          <cell r="L34"/>
        </row>
        <row r="35">
          <cell r="A35"/>
          <cell r="L35"/>
        </row>
        <row r="36">
          <cell r="A36"/>
          <cell r="L36"/>
        </row>
        <row r="37">
          <cell r="A37"/>
          <cell r="L37"/>
        </row>
        <row r="38">
          <cell r="A38"/>
          <cell r="L38"/>
        </row>
        <row r="39">
          <cell r="A39"/>
          <cell r="L39"/>
        </row>
        <row r="40">
          <cell r="A40"/>
          <cell r="L40"/>
        </row>
        <row r="41">
          <cell r="A41"/>
          <cell r="L41"/>
        </row>
        <row r="42">
          <cell r="A42"/>
          <cell r="L42"/>
        </row>
        <row r="43">
          <cell r="A43"/>
          <cell r="L43"/>
        </row>
        <row r="44">
          <cell r="A44"/>
          <cell r="L44"/>
        </row>
        <row r="45">
          <cell r="A45"/>
          <cell r="L45"/>
        </row>
        <row r="46">
          <cell r="A46"/>
          <cell r="L46"/>
        </row>
        <row r="47">
          <cell r="A47"/>
          <cell r="L47"/>
        </row>
        <row r="48">
          <cell r="A48"/>
          <cell r="L48"/>
        </row>
        <row r="49">
          <cell r="A49"/>
          <cell r="L49"/>
        </row>
        <row r="50">
          <cell r="A50"/>
          <cell r="L50"/>
        </row>
        <row r="51">
          <cell r="A51"/>
          <cell r="L51"/>
        </row>
        <row r="52">
          <cell r="A52"/>
          <cell r="L52"/>
        </row>
        <row r="53">
          <cell r="A53"/>
          <cell r="L53"/>
        </row>
        <row r="54">
          <cell r="A54"/>
          <cell r="L54"/>
        </row>
        <row r="55">
          <cell r="A55"/>
          <cell r="L55"/>
        </row>
        <row r="56">
          <cell r="A56"/>
          <cell r="L56"/>
        </row>
        <row r="57">
          <cell r="A57"/>
          <cell r="L57"/>
        </row>
        <row r="58">
          <cell r="A58"/>
          <cell r="L58"/>
        </row>
      </sheetData>
      <sheetData sheetId="1"/>
      <sheetData sheetId="2"/>
      <sheetData sheetId="3" refreshError="1"/>
      <sheetData sheetId="4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rabank.parasoft.com/parabank/index.htm;jsessionid=2DC89CF71756F090F84ADA0744902943" TargetMode="External"/><Relationship Id="rId13" Type="http://schemas.openxmlformats.org/officeDocument/2006/relationships/hyperlink" Target="https://parabank.parasoft.com/parabank/index.htm;jsessionid=2DC89CF71756F090F84ADA0744902943" TargetMode="External"/><Relationship Id="rId18" Type="http://schemas.openxmlformats.org/officeDocument/2006/relationships/hyperlink" Target="https://parabank.parasoft.com/parabank/index.htm;jsessionid=2DC89CF71756F090F84ADA0744902943" TargetMode="External"/><Relationship Id="rId3" Type="http://schemas.openxmlformats.org/officeDocument/2006/relationships/hyperlink" Target="https://parabank.parasoft.com/parabank/index.htm;jsessionid=2DC89CF71756F090F84ADA0744902943" TargetMode="External"/><Relationship Id="rId7" Type="http://schemas.openxmlformats.org/officeDocument/2006/relationships/hyperlink" Target="https://parabank.parasoft.com/parabank/index.htm;jsessionid=2DC89CF71756F090F84ADA0744902943" TargetMode="External"/><Relationship Id="rId12" Type="http://schemas.openxmlformats.org/officeDocument/2006/relationships/hyperlink" Target="https://parabank.parasoft.com/parabank/index.htm;jsessionid=2DC89CF71756F090F84ADA0744902943" TargetMode="External"/><Relationship Id="rId17" Type="http://schemas.openxmlformats.org/officeDocument/2006/relationships/hyperlink" Target="https://parabank.parasoft.com/parabank/index.htm;jsessionid=2DC89CF71756F090F84ADA0744902943" TargetMode="External"/><Relationship Id="rId2" Type="http://schemas.openxmlformats.org/officeDocument/2006/relationships/hyperlink" Target="https://parabank.parasoft.com/parabank/index.htm;jsessionid=2DC89CF71756F090F84ADA0744902943" TargetMode="External"/><Relationship Id="rId16" Type="http://schemas.openxmlformats.org/officeDocument/2006/relationships/hyperlink" Target="https://parabank.parasoft.com/parabank/index.htm;jsessionid=2DC89CF71756F090F84ADA0744902943" TargetMode="External"/><Relationship Id="rId1" Type="http://schemas.openxmlformats.org/officeDocument/2006/relationships/hyperlink" Target="https://parabank.parasoft.com/parabank/index.htm;jsessionid=2DC89CF71756F090F84ADA0744902943" TargetMode="External"/><Relationship Id="rId6" Type="http://schemas.openxmlformats.org/officeDocument/2006/relationships/hyperlink" Target="https://parabank.parasoft.com/parabank/index.htm;jsessionid=2DC89CF71756F090F84ADA0744902943" TargetMode="External"/><Relationship Id="rId11" Type="http://schemas.openxmlformats.org/officeDocument/2006/relationships/hyperlink" Target="https://parabank.parasoft.com/parabank/index.htm;jsessionid=2DC89CF71756F090F84ADA0744902943" TargetMode="External"/><Relationship Id="rId5" Type="http://schemas.openxmlformats.org/officeDocument/2006/relationships/hyperlink" Target="https://parabank.parasoft.com/parabank/index.htm;jsessionid=2DC89CF71756F090F84ADA0744902943" TargetMode="External"/><Relationship Id="rId15" Type="http://schemas.openxmlformats.org/officeDocument/2006/relationships/hyperlink" Target="https://parabank.parasoft.com/parabank/index.htm;jsessionid=2DC89CF71756F090F84ADA0744902943" TargetMode="External"/><Relationship Id="rId10" Type="http://schemas.openxmlformats.org/officeDocument/2006/relationships/hyperlink" Target="https://parabank.parasoft.com/parabank/index.htm;jsessionid=2DC89CF71756F090F84ADA0744902943" TargetMode="External"/><Relationship Id="rId19" Type="http://schemas.openxmlformats.org/officeDocument/2006/relationships/hyperlink" Target="https://parabank.parasoft.com/parabank/index.htm;jsessionid=2DC89CF71756F090F84ADA0744902943" TargetMode="External"/><Relationship Id="rId4" Type="http://schemas.openxmlformats.org/officeDocument/2006/relationships/hyperlink" Target="https://parabank.parasoft.com/parabank/index.htm;jsessionid=2DC89CF71756F090F84ADA0744902943" TargetMode="External"/><Relationship Id="rId9" Type="http://schemas.openxmlformats.org/officeDocument/2006/relationships/hyperlink" Target="https://parabank.parasoft.com/parabank/index.htm;jsessionid=2DC89CF71756F090F84ADA0744902943" TargetMode="External"/><Relationship Id="rId14" Type="http://schemas.openxmlformats.org/officeDocument/2006/relationships/hyperlink" Target="https://parabank.parasoft.com/parabank/index.htm;jsessionid=2DC89CF71756F090F84ADA074490294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"/>
  <sheetViews>
    <sheetView topLeftCell="I18" zoomScaleNormal="100" workbookViewId="0">
      <selection activeCell="L3" sqref="L3"/>
    </sheetView>
  </sheetViews>
  <sheetFormatPr defaultRowHeight="18.75" x14ac:dyDescent="0.3"/>
  <cols>
    <col min="1" max="1" width="16.5703125" style="16" bestFit="1" customWidth="1"/>
    <col min="2" max="2" width="95.140625" style="16" bestFit="1" customWidth="1"/>
    <col min="3" max="3" width="129.7109375" style="16" bestFit="1" customWidth="1"/>
    <col min="4" max="4" width="30.42578125" style="16" bestFit="1" customWidth="1"/>
    <col min="5" max="5" width="43.42578125" style="16" bestFit="1" customWidth="1"/>
    <col min="6" max="6" width="67.85546875" style="16" bestFit="1" customWidth="1"/>
    <col min="7" max="7" width="10.85546875" style="16" bestFit="1" customWidth="1"/>
    <col min="8" max="8" width="10.7109375" style="16" bestFit="1" customWidth="1"/>
    <col min="9" max="10" width="62.140625" style="16" bestFit="1" customWidth="1"/>
    <col min="11" max="11" width="11.7109375" style="16" bestFit="1" customWidth="1"/>
    <col min="12" max="12" width="11.85546875" style="15" bestFit="1" customWidth="1"/>
    <col min="13" max="16384" width="9.140625" style="15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4</v>
      </c>
      <c r="G1" s="1" t="s">
        <v>9</v>
      </c>
      <c r="H1" s="1" t="s">
        <v>10</v>
      </c>
      <c r="I1" s="1" t="s">
        <v>5</v>
      </c>
      <c r="J1" s="1" t="s">
        <v>6</v>
      </c>
      <c r="K1" s="1" t="s">
        <v>7</v>
      </c>
      <c r="L1" s="2" t="s">
        <v>11</v>
      </c>
    </row>
    <row r="2" spans="1:12" ht="56.25" x14ac:dyDescent="0.3">
      <c r="A2" s="3" t="s">
        <v>22</v>
      </c>
      <c r="B2" s="3" t="s">
        <v>42</v>
      </c>
      <c r="C2" s="3" t="s">
        <v>13</v>
      </c>
      <c r="D2" s="8" t="s">
        <v>34</v>
      </c>
      <c r="E2" s="3" t="s">
        <v>39</v>
      </c>
      <c r="F2" s="3" t="s">
        <v>93</v>
      </c>
      <c r="G2" s="3" t="s">
        <v>20</v>
      </c>
      <c r="H2" s="3" t="s">
        <v>12</v>
      </c>
      <c r="I2" s="3" t="s">
        <v>14</v>
      </c>
      <c r="J2" s="3" t="s">
        <v>14</v>
      </c>
      <c r="K2" s="3" t="s">
        <v>19</v>
      </c>
      <c r="L2" s="9" t="s">
        <v>38</v>
      </c>
    </row>
    <row r="3" spans="1:12" ht="56.25" x14ac:dyDescent="0.3">
      <c r="A3" s="3" t="s">
        <v>67</v>
      </c>
      <c r="B3" s="3" t="s">
        <v>85</v>
      </c>
      <c r="C3" s="3" t="s">
        <v>46</v>
      </c>
      <c r="D3" s="8" t="s">
        <v>34</v>
      </c>
      <c r="E3" s="3" t="s">
        <v>41</v>
      </c>
      <c r="F3" s="3" t="s">
        <v>40</v>
      </c>
      <c r="G3" s="3" t="s">
        <v>33</v>
      </c>
      <c r="H3" s="23" t="s">
        <v>139</v>
      </c>
      <c r="I3" s="3" t="s">
        <v>32</v>
      </c>
      <c r="J3" s="3" t="s">
        <v>14</v>
      </c>
      <c r="K3" s="3" t="s">
        <v>30</v>
      </c>
      <c r="L3" s="9" t="s">
        <v>31</v>
      </c>
    </row>
    <row r="4" spans="1:12" ht="56.25" x14ac:dyDescent="0.3">
      <c r="A4" s="3" t="s">
        <v>68</v>
      </c>
      <c r="B4" s="3" t="s">
        <v>87</v>
      </c>
      <c r="C4" s="3" t="s">
        <v>13</v>
      </c>
      <c r="D4" s="8" t="s">
        <v>34</v>
      </c>
      <c r="E4" s="3" t="s">
        <v>39</v>
      </c>
      <c r="F4" s="3" t="s">
        <v>45</v>
      </c>
      <c r="G4" s="3" t="s">
        <v>33</v>
      </c>
      <c r="H4" s="23" t="s">
        <v>139</v>
      </c>
      <c r="I4" s="3" t="s">
        <v>14</v>
      </c>
      <c r="J4" s="3" t="s">
        <v>14</v>
      </c>
      <c r="K4" s="3" t="s">
        <v>19</v>
      </c>
      <c r="L4" s="9" t="s">
        <v>38</v>
      </c>
    </row>
    <row r="5" spans="1:12" ht="56.25" x14ac:dyDescent="0.3">
      <c r="A5" s="3" t="s">
        <v>69</v>
      </c>
      <c r="B5" s="3" t="s">
        <v>86</v>
      </c>
      <c r="C5" s="3" t="s">
        <v>13</v>
      </c>
      <c r="D5" s="8" t="s">
        <v>34</v>
      </c>
      <c r="E5" s="3" t="s">
        <v>39</v>
      </c>
      <c r="F5" s="3" t="s">
        <v>48</v>
      </c>
      <c r="G5" s="3" t="s">
        <v>33</v>
      </c>
      <c r="H5" s="23" t="s">
        <v>139</v>
      </c>
      <c r="I5" s="3" t="s">
        <v>14</v>
      </c>
      <c r="J5" s="3" t="s">
        <v>99</v>
      </c>
      <c r="K5" s="3" t="s">
        <v>30</v>
      </c>
      <c r="L5" s="9" t="s">
        <v>107</v>
      </c>
    </row>
    <row r="6" spans="1:12" ht="56.25" x14ac:dyDescent="0.3">
      <c r="A6" s="3" t="s">
        <v>70</v>
      </c>
      <c r="B6" s="3" t="s">
        <v>51</v>
      </c>
      <c r="C6" s="3" t="s">
        <v>13</v>
      </c>
      <c r="D6" s="8" t="s">
        <v>34</v>
      </c>
      <c r="E6" s="3" t="s">
        <v>39</v>
      </c>
      <c r="F6" s="3" t="s">
        <v>49</v>
      </c>
      <c r="G6" s="3" t="s">
        <v>33</v>
      </c>
      <c r="H6" s="23" t="s">
        <v>139</v>
      </c>
      <c r="I6" s="3" t="s">
        <v>14</v>
      </c>
      <c r="J6" s="3" t="s">
        <v>99</v>
      </c>
      <c r="K6" s="3" t="s">
        <v>30</v>
      </c>
      <c r="L6" s="9" t="s">
        <v>107</v>
      </c>
    </row>
    <row r="7" spans="1:12" ht="56.25" x14ac:dyDescent="0.3">
      <c r="A7" s="3" t="s">
        <v>71</v>
      </c>
      <c r="B7" s="3" t="s">
        <v>26</v>
      </c>
      <c r="C7" s="3" t="s">
        <v>46</v>
      </c>
      <c r="D7" s="8" t="s">
        <v>34</v>
      </c>
      <c r="E7" s="3" t="s">
        <v>41</v>
      </c>
      <c r="F7" s="3" t="s">
        <v>50</v>
      </c>
      <c r="G7" s="3" t="s">
        <v>33</v>
      </c>
      <c r="H7" s="23" t="s">
        <v>139</v>
      </c>
      <c r="I7" s="10" t="s">
        <v>25</v>
      </c>
      <c r="J7" s="3" t="s">
        <v>99</v>
      </c>
      <c r="K7" s="3" t="s">
        <v>30</v>
      </c>
      <c r="L7" s="9" t="s">
        <v>100</v>
      </c>
    </row>
    <row r="8" spans="1:12" ht="56.25" x14ac:dyDescent="0.3">
      <c r="A8" s="3" t="s">
        <v>72</v>
      </c>
      <c r="B8" s="3" t="s">
        <v>88</v>
      </c>
      <c r="C8" s="3" t="s">
        <v>46</v>
      </c>
      <c r="D8" s="8" t="s">
        <v>34</v>
      </c>
      <c r="E8" s="3" t="s">
        <v>41</v>
      </c>
      <c r="F8" s="3" t="s">
        <v>92</v>
      </c>
      <c r="G8" s="3" t="s">
        <v>33</v>
      </c>
      <c r="H8" s="23" t="s">
        <v>139</v>
      </c>
      <c r="I8" s="10" t="s">
        <v>25</v>
      </c>
      <c r="J8" s="10" t="s">
        <v>14</v>
      </c>
      <c r="K8" s="3" t="s">
        <v>30</v>
      </c>
      <c r="L8" s="9" t="s">
        <v>84</v>
      </c>
    </row>
    <row r="9" spans="1:12" ht="56.25" x14ac:dyDescent="0.3">
      <c r="A9" s="3" t="s">
        <v>73</v>
      </c>
      <c r="B9" s="3" t="s">
        <v>52</v>
      </c>
      <c r="C9" s="3" t="s">
        <v>46</v>
      </c>
      <c r="D9" s="8" t="s">
        <v>34</v>
      </c>
      <c r="E9" s="3" t="s">
        <v>53</v>
      </c>
      <c r="F9" s="3" t="s">
        <v>54</v>
      </c>
      <c r="G9" s="3" t="s">
        <v>33</v>
      </c>
      <c r="H9" s="23" t="s">
        <v>139</v>
      </c>
      <c r="I9" s="10" t="s">
        <v>25</v>
      </c>
      <c r="J9" s="10" t="s">
        <v>14</v>
      </c>
      <c r="K9" s="3" t="s">
        <v>30</v>
      </c>
      <c r="L9" s="9" t="s">
        <v>113</v>
      </c>
    </row>
    <row r="10" spans="1:12" ht="56.25" x14ac:dyDescent="0.3">
      <c r="A10" s="3" t="s">
        <v>74</v>
      </c>
      <c r="B10" s="3" t="s">
        <v>57</v>
      </c>
      <c r="C10" s="3" t="s">
        <v>13</v>
      </c>
      <c r="D10" s="8" t="s">
        <v>34</v>
      </c>
      <c r="E10" s="3" t="s">
        <v>39</v>
      </c>
      <c r="F10" s="3" t="s">
        <v>55</v>
      </c>
      <c r="G10" s="3" t="s">
        <v>33</v>
      </c>
      <c r="H10" s="23" t="s">
        <v>139</v>
      </c>
      <c r="I10" s="10" t="s">
        <v>14</v>
      </c>
      <c r="J10" s="10" t="s">
        <v>14</v>
      </c>
      <c r="K10" s="3" t="s">
        <v>19</v>
      </c>
      <c r="L10" s="9" t="s">
        <v>38</v>
      </c>
    </row>
    <row r="11" spans="1:12" ht="56.25" x14ac:dyDescent="0.3">
      <c r="A11" s="3" t="s">
        <v>75</v>
      </c>
      <c r="B11" s="3" t="s">
        <v>57</v>
      </c>
      <c r="C11" s="3" t="s">
        <v>13</v>
      </c>
      <c r="D11" s="8" t="s">
        <v>34</v>
      </c>
      <c r="E11" s="3" t="s">
        <v>39</v>
      </c>
      <c r="F11" s="3" t="s">
        <v>56</v>
      </c>
      <c r="G11" s="3" t="s">
        <v>33</v>
      </c>
      <c r="H11" s="23" t="s">
        <v>139</v>
      </c>
      <c r="I11" s="10" t="s">
        <v>14</v>
      </c>
      <c r="J11" s="10" t="s">
        <v>14</v>
      </c>
      <c r="K11" s="3" t="s">
        <v>19</v>
      </c>
      <c r="L11" s="9" t="s">
        <v>38</v>
      </c>
    </row>
    <row r="12" spans="1:12" ht="56.25" x14ac:dyDescent="0.3">
      <c r="A12" s="3" t="s">
        <v>76</v>
      </c>
      <c r="B12" s="3" t="s">
        <v>52</v>
      </c>
      <c r="C12" s="3" t="s">
        <v>46</v>
      </c>
      <c r="D12" s="8" t="s">
        <v>34</v>
      </c>
      <c r="E12" s="3" t="s">
        <v>63</v>
      </c>
      <c r="F12" s="3" t="s">
        <v>58</v>
      </c>
      <c r="G12" s="3" t="s">
        <v>33</v>
      </c>
      <c r="H12" s="23" t="s">
        <v>139</v>
      </c>
      <c r="I12" s="10" t="s">
        <v>25</v>
      </c>
      <c r="J12" s="10" t="s">
        <v>14</v>
      </c>
      <c r="K12" s="3" t="s">
        <v>30</v>
      </c>
      <c r="L12" s="9" t="s">
        <v>118</v>
      </c>
    </row>
    <row r="13" spans="1:12" ht="56.25" x14ac:dyDescent="0.3">
      <c r="A13" s="3" t="s">
        <v>77</v>
      </c>
      <c r="B13" s="3" t="s">
        <v>52</v>
      </c>
      <c r="C13" s="3" t="s">
        <v>46</v>
      </c>
      <c r="D13" s="8" t="s">
        <v>34</v>
      </c>
      <c r="E13" s="3" t="s">
        <v>63</v>
      </c>
      <c r="F13" s="3" t="s">
        <v>59</v>
      </c>
      <c r="G13" s="3" t="s">
        <v>33</v>
      </c>
      <c r="H13" s="23" t="s">
        <v>139</v>
      </c>
      <c r="I13" s="10" t="s">
        <v>25</v>
      </c>
      <c r="J13" s="3" t="s">
        <v>32</v>
      </c>
      <c r="K13" s="3" t="s">
        <v>30</v>
      </c>
      <c r="L13" s="9" t="s">
        <v>119</v>
      </c>
    </row>
    <row r="14" spans="1:12" ht="56.25" x14ac:dyDescent="0.3">
      <c r="A14" s="3" t="s">
        <v>78</v>
      </c>
      <c r="B14" s="3" t="s">
        <v>52</v>
      </c>
      <c r="C14" s="3" t="s">
        <v>46</v>
      </c>
      <c r="D14" s="8" t="s">
        <v>34</v>
      </c>
      <c r="E14" s="3" t="s">
        <v>63</v>
      </c>
      <c r="F14" s="3" t="s">
        <v>60</v>
      </c>
      <c r="G14" s="3" t="s">
        <v>33</v>
      </c>
      <c r="H14" s="23" t="s">
        <v>139</v>
      </c>
      <c r="I14" s="10" t="s">
        <v>25</v>
      </c>
      <c r="J14" s="3" t="s">
        <v>32</v>
      </c>
      <c r="K14" s="3" t="s">
        <v>30</v>
      </c>
      <c r="L14" s="9" t="s">
        <v>128</v>
      </c>
    </row>
    <row r="15" spans="1:12" ht="56.25" x14ac:dyDescent="0.3">
      <c r="A15" s="3" t="s">
        <v>79</v>
      </c>
      <c r="B15" s="3" t="s">
        <v>52</v>
      </c>
      <c r="C15" s="3" t="s">
        <v>46</v>
      </c>
      <c r="D15" s="8" t="s">
        <v>34</v>
      </c>
      <c r="E15" s="3" t="s">
        <v>63</v>
      </c>
      <c r="F15" s="3" t="s">
        <v>61</v>
      </c>
      <c r="G15" s="3" t="s">
        <v>33</v>
      </c>
      <c r="H15" s="23" t="s">
        <v>139</v>
      </c>
      <c r="I15" s="10" t="s">
        <v>25</v>
      </c>
      <c r="J15" s="3" t="s">
        <v>32</v>
      </c>
      <c r="K15" s="3" t="s">
        <v>30</v>
      </c>
      <c r="L15" s="9" t="s">
        <v>131</v>
      </c>
    </row>
    <row r="16" spans="1:12" ht="56.25" x14ac:dyDescent="0.3">
      <c r="A16" s="3" t="s">
        <v>80</v>
      </c>
      <c r="B16" s="3" t="s">
        <v>52</v>
      </c>
      <c r="C16" s="3" t="s">
        <v>46</v>
      </c>
      <c r="D16" s="8" t="s">
        <v>34</v>
      </c>
      <c r="E16" s="3" t="s">
        <v>63</v>
      </c>
      <c r="F16" s="3" t="s">
        <v>62</v>
      </c>
      <c r="G16" s="3" t="s">
        <v>33</v>
      </c>
      <c r="H16" s="23" t="s">
        <v>139</v>
      </c>
      <c r="I16" s="10" t="s">
        <v>25</v>
      </c>
      <c r="J16" s="3" t="s">
        <v>32</v>
      </c>
      <c r="K16" s="3" t="s">
        <v>30</v>
      </c>
      <c r="L16" s="9" t="s">
        <v>132</v>
      </c>
    </row>
    <row r="17" spans="1:12" ht="56.25" x14ac:dyDescent="0.3">
      <c r="A17" s="3" t="s">
        <v>81</v>
      </c>
      <c r="B17" s="3" t="s">
        <v>64</v>
      </c>
      <c r="C17" s="3" t="s">
        <v>46</v>
      </c>
      <c r="D17" s="8" t="s">
        <v>34</v>
      </c>
      <c r="E17" s="3" t="s">
        <v>65</v>
      </c>
      <c r="F17" s="3" t="s">
        <v>66</v>
      </c>
      <c r="G17" s="3" t="s">
        <v>33</v>
      </c>
      <c r="H17" s="23" t="s">
        <v>139</v>
      </c>
      <c r="I17" s="10" t="s">
        <v>25</v>
      </c>
      <c r="J17" s="3" t="s">
        <v>32</v>
      </c>
      <c r="K17" s="3" t="s">
        <v>19</v>
      </c>
      <c r="L17" s="22" t="s">
        <v>38</v>
      </c>
    </row>
    <row r="18" spans="1:12" ht="56.25" x14ac:dyDescent="0.3">
      <c r="A18" s="3" t="s">
        <v>82</v>
      </c>
      <c r="B18" s="3" t="s">
        <v>89</v>
      </c>
      <c r="C18" s="3" t="s">
        <v>46</v>
      </c>
      <c r="D18" s="8" t="s">
        <v>34</v>
      </c>
      <c r="E18" s="3" t="s">
        <v>43</v>
      </c>
      <c r="F18" s="3" t="s">
        <v>44</v>
      </c>
      <c r="G18" s="3" t="s">
        <v>33</v>
      </c>
      <c r="H18" s="23" t="s">
        <v>139</v>
      </c>
      <c r="I18" s="3" t="s">
        <v>25</v>
      </c>
      <c r="J18" s="3" t="s">
        <v>32</v>
      </c>
      <c r="K18" s="3" t="s">
        <v>19</v>
      </c>
      <c r="L18" s="22" t="s">
        <v>38</v>
      </c>
    </row>
    <row r="19" spans="1:12" ht="56.25" x14ac:dyDescent="0.3">
      <c r="A19" s="17" t="s">
        <v>83</v>
      </c>
      <c r="B19" s="11" t="s">
        <v>27</v>
      </c>
      <c r="C19" s="11" t="s">
        <v>47</v>
      </c>
      <c r="D19" s="14" t="s">
        <v>34</v>
      </c>
      <c r="E19" s="11" t="s">
        <v>28</v>
      </c>
      <c r="F19" s="11" t="s">
        <v>38</v>
      </c>
      <c r="G19" s="12" t="s">
        <v>20</v>
      </c>
      <c r="H19" s="23" t="s">
        <v>12</v>
      </c>
      <c r="I19" s="11" t="s">
        <v>24</v>
      </c>
      <c r="J19" s="3" t="s">
        <v>24</v>
      </c>
      <c r="K19" s="13" t="s">
        <v>19</v>
      </c>
      <c r="L19" s="22" t="s">
        <v>38</v>
      </c>
    </row>
    <row r="20" spans="1:12" ht="56.25" x14ac:dyDescent="0.3">
      <c r="A20" s="17" t="s">
        <v>90</v>
      </c>
      <c r="B20" s="3" t="s">
        <v>94</v>
      </c>
      <c r="C20" s="3" t="s">
        <v>46</v>
      </c>
      <c r="D20" s="8" t="s">
        <v>34</v>
      </c>
      <c r="E20" s="3" t="s">
        <v>41</v>
      </c>
      <c r="F20" s="3" t="s">
        <v>95</v>
      </c>
      <c r="G20" s="3" t="s">
        <v>33</v>
      </c>
      <c r="H20" s="23" t="s">
        <v>139</v>
      </c>
      <c r="I20" s="3" t="s">
        <v>25</v>
      </c>
      <c r="J20" s="10" t="s">
        <v>14</v>
      </c>
      <c r="K20" s="3" t="s">
        <v>30</v>
      </c>
      <c r="L20" s="22" t="s">
        <v>84</v>
      </c>
    </row>
    <row r="21" spans="1:12" ht="56.25" x14ac:dyDescent="0.3">
      <c r="A21" s="17" t="s">
        <v>91</v>
      </c>
      <c r="B21" s="3" t="s">
        <v>97</v>
      </c>
      <c r="C21" s="3" t="s">
        <v>46</v>
      </c>
      <c r="D21" s="8" t="s">
        <v>34</v>
      </c>
      <c r="E21" s="3" t="s">
        <v>96</v>
      </c>
      <c r="F21" s="3" t="s">
        <v>98</v>
      </c>
      <c r="G21" s="3" t="s">
        <v>33</v>
      </c>
      <c r="H21" s="23" t="s">
        <v>139</v>
      </c>
      <c r="I21" s="3" t="s">
        <v>25</v>
      </c>
      <c r="J21" s="10" t="s">
        <v>14</v>
      </c>
      <c r="K21" s="3" t="s">
        <v>30</v>
      </c>
      <c r="L21" s="22" t="s">
        <v>84</v>
      </c>
    </row>
    <row r="22" spans="1:12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2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spans="1:12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5" spans="1:12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</row>
    <row r="26" spans="1:12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</row>
    <row r="27" spans="1:12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</row>
    <row r="28" spans="1:12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 spans="1:12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</row>
    <row r="30" spans="1:12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spans="1:12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 spans="1:12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</row>
    <row r="33" s="15" customFormat="1" x14ac:dyDescent="0.3"/>
    <row r="34" s="15" customFormat="1" x14ac:dyDescent="0.3"/>
    <row r="35" s="15" customFormat="1" x14ac:dyDescent="0.3"/>
    <row r="36" s="15" customFormat="1" x14ac:dyDescent="0.3"/>
    <row r="37" s="15" customFormat="1" x14ac:dyDescent="0.3"/>
    <row r="38" s="15" customFormat="1" x14ac:dyDescent="0.3"/>
    <row r="39" s="15" customFormat="1" x14ac:dyDescent="0.3"/>
    <row r="40" s="15" customFormat="1" x14ac:dyDescent="0.3"/>
    <row r="41" s="15" customFormat="1" x14ac:dyDescent="0.3"/>
    <row r="42" s="15" customFormat="1" x14ac:dyDescent="0.3"/>
    <row r="43" s="15" customFormat="1" x14ac:dyDescent="0.3"/>
    <row r="44" s="15" customFormat="1" x14ac:dyDescent="0.3"/>
    <row r="45" s="15" customFormat="1" x14ac:dyDescent="0.3"/>
    <row r="46" s="15" customFormat="1" x14ac:dyDescent="0.3"/>
    <row r="47" s="15" customFormat="1" x14ac:dyDescent="0.3"/>
    <row r="48" s="15" customFormat="1" x14ac:dyDescent="0.3"/>
    <row r="49" s="15" customFormat="1" x14ac:dyDescent="0.3"/>
    <row r="50" s="15" customFormat="1" x14ac:dyDescent="0.3"/>
    <row r="51" s="15" customFormat="1" x14ac:dyDescent="0.3"/>
    <row r="52" s="15" customFormat="1" x14ac:dyDescent="0.3"/>
    <row r="53" s="15" customFormat="1" x14ac:dyDescent="0.3"/>
    <row r="54" s="15" customFormat="1" x14ac:dyDescent="0.3"/>
    <row r="55" s="15" customFormat="1" x14ac:dyDescent="0.3"/>
    <row r="56" s="15" customFormat="1" x14ac:dyDescent="0.3"/>
    <row r="57" s="15" customFormat="1" x14ac:dyDescent="0.3"/>
    <row r="58" s="15" customFormat="1" x14ac:dyDescent="0.3"/>
    <row r="59" s="15" customFormat="1" x14ac:dyDescent="0.3"/>
    <row r="60" s="15" customFormat="1" x14ac:dyDescent="0.3"/>
    <row r="61" s="15" customFormat="1" x14ac:dyDescent="0.3"/>
    <row r="62" s="15" customFormat="1" x14ac:dyDescent="0.3"/>
    <row r="63" s="15" customFormat="1" x14ac:dyDescent="0.3"/>
    <row r="64" s="15" customFormat="1" x14ac:dyDescent="0.3"/>
    <row r="65" s="15" customFormat="1" x14ac:dyDescent="0.3"/>
    <row r="66" s="15" customFormat="1" x14ac:dyDescent="0.3"/>
    <row r="67" s="15" customFormat="1" x14ac:dyDescent="0.3"/>
    <row r="68" s="15" customFormat="1" x14ac:dyDescent="0.3"/>
    <row r="69" s="15" customFormat="1" x14ac:dyDescent="0.3"/>
    <row r="70" s="15" customFormat="1" x14ac:dyDescent="0.3"/>
    <row r="71" s="15" customFormat="1" x14ac:dyDescent="0.3"/>
    <row r="72" s="15" customFormat="1" x14ac:dyDescent="0.3"/>
    <row r="73" s="15" customFormat="1" x14ac:dyDescent="0.3"/>
    <row r="74" s="15" customFormat="1" x14ac:dyDescent="0.3"/>
    <row r="75" s="15" customFormat="1" x14ac:dyDescent="0.3"/>
    <row r="76" s="15" customFormat="1" x14ac:dyDescent="0.3"/>
    <row r="77" s="15" customFormat="1" x14ac:dyDescent="0.3"/>
  </sheetData>
  <phoneticPr fontId="1" type="noConversion"/>
  <conditionalFormatting sqref="G2:G21">
    <cfRule type="cellIs" dxfId="16" priority="17" operator="equal">
      <formula>"Low"</formula>
    </cfRule>
    <cfRule type="cellIs" dxfId="15" priority="18" operator="equal">
      <formula>"Medium"</formula>
    </cfRule>
    <cfRule type="cellIs" dxfId="14" priority="19" operator="equal">
      <formula>"High"</formula>
    </cfRule>
  </conditionalFormatting>
  <conditionalFormatting sqref="H2:H21">
    <cfRule type="cellIs" dxfId="13" priority="14" operator="equal">
      <formula>"Minor"</formula>
    </cfRule>
    <cfRule type="cellIs" dxfId="12" priority="15" operator="equal">
      <formula>"Major"</formula>
    </cfRule>
    <cfRule type="cellIs" dxfId="11" priority="16" operator="equal">
      <formula>"Cretical"</formula>
    </cfRule>
  </conditionalFormatting>
  <conditionalFormatting sqref="K2:K21">
    <cfRule type="cellIs" dxfId="10" priority="12" operator="equal">
      <formula>"Skiped"</formula>
    </cfRule>
    <cfRule type="cellIs" dxfId="9" priority="13" operator="equal">
      <formula>"Blocked"</formula>
    </cfRule>
    <cfRule type="cellIs" dxfId="8" priority="20" operator="equal">
      <formula>"To Do"</formula>
    </cfRule>
    <cfRule type="cellIs" dxfId="7" priority="21" operator="equal">
      <formula>"Passed"</formula>
    </cfRule>
    <cfRule type="cellIs" dxfId="6" priority="23" operator="equal">
      <formula>"Failed"</formula>
    </cfRule>
  </conditionalFormatting>
  <dataValidations count="3">
    <dataValidation type="list" allowBlank="1" showInputMessage="1" showErrorMessage="1" sqref="G2:G21" xr:uid="{F10C07F1-CAD0-43A5-999B-4EA6A858B7DB}">
      <formula1>"High,Medium,Low"</formula1>
    </dataValidation>
    <dataValidation type="list" allowBlank="1" showInputMessage="1" showErrorMessage="1" sqref="H2:H21" xr:uid="{463574AD-725E-4F6E-A42B-B5A72FF6C364}">
      <formula1>"Critical,Major,Minor"</formula1>
    </dataValidation>
    <dataValidation type="list" allowBlank="1" showInputMessage="1" showErrorMessage="1" sqref="K2:K21" xr:uid="{3DD4042D-D615-47FF-9BF5-51267C05F764}">
      <formula1>"Failed,passed,To Do,Blocked,Skiped"</formula1>
    </dataValidation>
  </dataValidations>
  <hyperlinks>
    <hyperlink ref="D2" r:id="rId1" display="https://parabank.parasoft.com/parabank/index.htm;jsessionid=2DC89CF71756F090F84ADA0744902943" xr:uid="{B80C0F7E-1DB7-4775-B919-C4BD430B7080}"/>
    <hyperlink ref="D3:D4" r:id="rId2" display="https://parabank.parasoft.com/parabank/index.htm;jsessionid=2DC89CF71756F090F84ADA0744902943" xr:uid="{F438F7CF-DA79-47D6-8768-6CB1FF62250F}"/>
    <hyperlink ref="D18" r:id="rId3" display="https://parabank.parasoft.com/parabank/index.htm;jsessionid=2DC89CF71756F090F84ADA0744902943" xr:uid="{98DEFC5E-19DD-42EF-89F5-86C50A242681}"/>
    <hyperlink ref="D19" r:id="rId4" display="https://parabank.parasoft.com/parabank/index.htm;jsessionid=2DC89CF71756F090F84ADA0744902943" xr:uid="{6437F8EB-FC62-4EDD-9D9E-B12A47674DA2}"/>
    <hyperlink ref="D5" r:id="rId5" display="https://parabank.parasoft.com/parabank/index.htm;jsessionid=2DC89CF71756F090F84ADA0744902943" xr:uid="{971C3BB8-B1B4-43A3-9C3E-4CD05EE7B2E3}"/>
    <hyperlink ref="D6" r:id="rId6" display="https://parabank.parasoft.com/parabank/index.htm;jsessionid=2DC89CF71756F090F84ADA0744902943" xr:uid="{286B63B7-FF5D-48C3-A449-D61370F689C5}"/>
    <hyperlink ref="D7" r:id="rId7" display="https://parabank.parasoft.com/parabank/index.htm;jsessionid=2DC89CF71756F090F84ADA0744902943" xr:uid="{403E60C7-F335-4A33-B98A-8205A393B4A8}"/>
    <hyperlink ref="D8" r:id="rId8" display="https://parabank.parasoft.com/parabank/index.htm;jsessionid=2DC89CF71756F090F84ADA0744902943" xr:uid="{607A712D-1A3E-4CBA-996A-D9CF4816FDE0}"/>
    <hyperlink ref="D9" r:id="rId9" display="https://parabank.parasoft.com/parabank/index.htm;jsessionid=2DC89CF71756F090F84ADA0744902943" xr:uid="{5B60A517-E82C-4E8B-B8A5-A1B4ADDA55DA}"/>
    <hyperlink ref="D10" r:id="rId10" display="https://parabank.parasoft.com/parabank/index.htm;jsessionid=2DC89CF71756F090F84ADA0744902943" xr:uid="{05583606-48D8-4345-951C-59FBEBF658D4}"/>
    <hyperlink ref="D11" r:id="rId11" display="https://parabank.parasoft.com/parabank/index.htm;jsessionid=2DC89CF71756F090F84ADA0744902943" xr:uid="{2C9E8BF2-E826-40AB-94BF-17C19ECBBB7E}"/>
    <hyperlink ref="D12" r:id="rId12" display="https://parabank.parasoft.com/parabank/index.htm;jsessionid=2DC89CF71756F090F84ADA0744902943" xr:uid="{AC523670-4D14-403D-8108-7470942CA033}"/>
    <hyperlink ref="D13" r:id="rId13" display="https://parabank.parasoft.com/parabank/index.htm;jsessionid=2DC89CF71756F090F84ADA0744902943" xr:uid="{47EDF897-C724-4DE3-958E-73C92BA60BAF}"/>
    <hyperlink ref="D14" r:id="rId14" display="https://parabank.parasoft.com/parabank/index.htm;jsessionid=2DC89CF71756F090F84ADA0744902943" xr:uid="{3A8E26FB-23B3-43D1-B9B0-D570EE7EA039}"/>
    <hyperlink ref="D15" r:id="rId15" display="https://parabank.parasoft.com/parabank/index.htm;jsessionid=2DC89CF71756F090F84ADA0744902943" xr:uid="{561178C1-2FF2-4731-A343-78B2492203FE}"/>
    <hyperlink ref="D16" r:id="rId16" display="https://parabank.parasoft.com/parabank/index.htm;jsessionid=2DC89CF71756F090F84ADA0744902943" xr:uid="{C51A917C-AF0C-48D3-A10D-587930B2D70A}"/>
    <hyperlink ref="D17" r:id="rId17" display="https://parabank.parasoft.com/parabank/index.htm;jsessionid=2DC89CF71756F090F84ADA0744902943" xr:uid="{B5867052-7325-4564-8658-4A78A77E5260}"/>
    <hyperlink ref="D20" r:id="rId18" display="https://parabank.parasoft.com/parabank/index.htm;jsessionid=2DC89CF71756F090F84ADA0744902943" xr:uid="{9E808265-D125-4AE4-8F59-7ADC47EB4285}"/>
    <hyperlink ref="D21" r:id="rId19" display="https://parabank.parasoft.com/parabank/index.htm;jsessionid=2DC89CF71756F090F84ADA0744902943" xr:uid="{4AB98DE6-C3D1-4EE2-9EE0-0190F569CA8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6E3D0-BDF0-48D2-9C25-89DA388370D9}">
  <dimension ref="A1:L11"/>
  <sheetViews>
    <sheetView tabSelected="1" topLeftCell="E10" zoomScaleNormal="100" workbookViewId="0">
      <selection activeCell="K4" sqref="K4"/>
    </sheetView>
  </sheetViews>
  <sheetFormatPr defaultRowHeight="18.75" x14ac:dyDescent="0.25"/>
  <cols>
    <col min="1" max="1" width="11.85546875" style="21" bestFit="1" customWidth="1"/>
    <col min="2" max="2" width="48.42578125" style="21" bestFit="1" customWidth="1"/>
    <col min="3" max="3" width="33.42578125" style="21" bestFit="1" customWidth="1"/>
    <col min="4" max="4" width="32.28515625" style="21" bestFit="1" customWidth="1"/>
    <col min="5" max="5" width="42.85546875" style="21" bestFit="1" customWidth="1"/>
    <col min="6" max="6" width="10.85546875" style="21" bestFit="1" customWidth="1"/>
    <col min="7" max="7" width="10.7109375" style="21" bestFit="1" customWidth="1"/>
    <col min="8" max="8" width="14" style="21" bestFit="1" customWidth="1"/>
    <col min="9" max="9" width="14.7109375" style="21" bestFit="1" customWidth="1"/>
    <col min="10" max="10" width="20.7109375" style="21" customWidth="1"/>
    <col min="11" max="11" width="18.28515625" style="21" bestFit="1" customWidth="1"/>
    <col min="12" max="12" width="13.85546875" style="21" bestFit="1" customWidth="1"/>
    <col min="13" max="13" width="20.7109375" style="21" customWidth="1"/>
    <col min="14" max="16384" width="9.140625" style="21"/>
  </cols>
  <sheetData>
    <row r="1" spans="1:12" ht="21" x14ac:dyDescent="0.25">
      <c r="A1" s="4" t="s">
        <v>11</v>
      </c>
      <c r="B1" s="4" t="s">
        <v>15</v>
      </c>
      <c r="C1" s="4" t="s">
        <v>16</v>
      </c>
      <c r="D1" s="4" t="s">
        <v>5</v>
      </c>
      <c r="E1" s="4" t="s">
        <v>6</v>
      </c>
      <c r="F1" s="4" t="s">
        <v>9</v>
      </c>
      <c r="G1" s="4" t="s">
        <v>10</v>
      </c>
      <c r="H1" s="4" t="s">
        <v>17</v>
      </c>
      <c r="I1" s="5" t="s">
        <v>18</v>
      </c>
      <c r="J1" s="18" t="s">
        <v>21</v>
      </c>
      <c r="K1" s="19" t="s">
        <v>108</v>
      </c>
      <c r="L1" s="5" t="s">
        <v>35</v>
      </c>
    </row>
    <row r="2" spans="1:12" ht="93.75" x14ac:dyDescent="0.25">
      <c r="A2" s="6" t="s">
        <v>31</v>
      </c>
      <c r="B2" s="3" t="s">
        <v>114</v>
      </c>
      <c r="C2" s="3" t="s">
        <v>135</v>
      </c>
      <c r="D2" s="3" t="s">
        <v>115</v>
      </c>
      <c r="E2" s="3" t="s">
        <v>106</v>
      </c>
      <c r="F2" s="20" t="s">
        <v>23</v>
      </c>
      <c r="G2" s="20" t="s">
        <v>12</v>
      </c>
      <c r="H2" s="3" t="s">
        <v>29</v>
      </c>
      <c r="I2" s="3" t="s">
        <v>37</v>
      </c>
      <c r="J2" s="7" t="e" vm="1">
        <v>#VALUE!</v>
      </c>
      <c r="K2" s="3" t="str" cm="1">
        <f t="array" ref="K2">IFERROR(
    _xlfn.TEXTJOIN(", ", TRUE,
        _xlfn._xlws.FILTER([1]TC!A:A, TRIM([1]TC!L:L) = TRIM(A2))
    ),
    ""
)</f>
        <v>TC_Auth_002</v>
      </c>
      <c r="L2" s="20" t="s">
        <v>36</v>
      </c>
    </row>
    <row r="3" spans="1:12" ht="150" x14ac:dyDescent="0.25">
      <c r="A3" s="6" t="s">
        <v>84</v>
      </c>
      <c r="B3" s="3" t="s">
        <v>116</v>
      </c>
      <c r="C3" s="3" t="s">
        <v>121</v>
      </c>
      <c r="D3" s="3" t="s">
        <v>117</v>
      </c>
      <c r="E3" s="3" t="s">
        <v>106</v>
      </c>
      <c r="F3" s="20" t="s">
        <v>23</v>
      </c>
      <c r="G3" s="20" t="s">
        <v>12</v>
      </c>
      <c r="H3" s="3" t="s">
        <v>29</v>
      </c>
      <c r="I3" s="3" t="s">
        <v>37</v>
      </c>
      <c r="J3" s="7" t="e" vm="2">
        <v>#VALUE!</v>
      </c>
      <c r="K3" s="3" t="str" cm="1">
        <f t="array" ref="K3">IFERROR(
    _xlfn.TEXTJOIN(", ", TRUE,
        _xlfn._xlws.FILTER([1]TC!A:A, TRIM([1]TC!L:L) = TRIM(A3))
    ),
    ""
)</f>
        <v>TC_Auth_007, TC_Auth_019, TC_Auth_020</v>
      </c>
      <c r="L3" s="20" t="s">
        <v>36</v>
      </c>
    </row>
    <row r="4" spans="1:12" ht="112.5" x14ac:dyDescent="0.25">
      <c r="A4" s="6" t="s">
        <v>107</v>
      </c>
      <c r="B4" s="3" t="s">
        <v>109</v>
      </c>
      <c r="C4" s="3" t="s">
        <v>122</v>
      </c>
      <c r="D4" s="3" t="s">
        <v>110</v>
      </c>
      <c r="E4" s="3" t="s">
        <v>103</v>
      </c>
      <c r="F4" s="20" t="s">
        <v>33</v>
      </c>
      <c r="G4" s="20" t="s">
        <v>12</v>
      </c>
      <c r="H4" s="20" t="s">
        <v>29</v>
      </c>
      <c r="I4" s="3" t="s">
        <v>37</v>
      </c>
      <c r="J4" s="20" t="e" vm="3">
        <v>#VALUE!</v>
      </c>
      <c r="K4" s="3" t="str" cm="1">
        <f t="array" ref="K4">IFERROR(
    _xlfn.TEXTJOIN(", ", TRUE,
        _xlfn._xlws.FILTER([1]TC!A:A, TRIM([1]TC!L:L) = TRIM(A4))
    ),
    ""
)</f>
        <v>TC_Auth_004, TC_Auth_005</v>
      </c>
      <c r="L4" s="20" t="s">
        <v>36</v>
      </c>
    </row>
    <row r="5" spans="1:12" ht="112.5" x14ac:dyDescent="0.25">
      <c r="A5" s="6" t="s">
        <v>100</v>
      </c>
      <c r="B5" s="3" t="s">
        <v>101</v>
      </c>
      <c r="C5" s="3" t="s">
        <v>123</v>
      </c>
      <c r="D5" s="3" t="s">
        <v>102</v>
      </c>
      <c r="E5" s="3" t="s">
        <v>103</v>
      </c>
      <c r="F5" s="20" t="s">
        <v>33</v>
      </c>
      <c r="G5" s="20" t="s">
        <v>12</v>
      </c>
      <c r="H5" s="20" t="s">
        <v>29</v>
      </c>
      <c r="I5" s="3" t="s">
        <v>37</v>
      </c>
      <c r="J5" s="20" t="e" vm="4">
        <v>#VALUE!</v>
      </c>
      <c r="K5" s="3" t="str" cm="1">
        <f t="array" ref="K5">IFERROR(
    _xlfn.TEXTJOIN(", ", TRUE,
        _xlfn._xlws.FILTER([1]TC!A:A, TRIM([1]TC!L:L) = TRIM(A5))
    ),
    ""
)</f>
        <v>TC_Auth_006</v>
      </c>
      <c r="L5" s="20" t="s">
        <v>36</v>
      </c>
    </row>
    <row r="6" spans="1:12" ht="112.5" x14ac:dyDescent="0.25">
      <c r="A6" s="6" t="s">
        <v>113</v>
      </c>
      <c r="B6" s="3" t="s">
        <v>104</v>
      </c>
      <c r="C6" s="3" t="s">
        <v>124</v>
      </c>
      <c r="D6" s="3" t="s">
        <v>105</v>
      </c>
      <c r="E6" s="3" t="s">
        <v>106</v>
      </c>
      <c r="F6" s="20" t="s">
        <v>23</v>
      </c>
      <c r="G6" s="20" t="s">
        <v>12</v>
      </c>
      <c r="H6" s="20" t="s">
        <v>29</v>
      </c>
      <c r="I6" s="3" t="s">
        <v>37</v>
      </c>
      <c r="J6" s="20" t="e" vm="5">
        <v>#VALUE!</v>
      </c>
      <c r="K6" s="3" t="str" cm="1">
        <f t="array" ref="K6">IFERROR(
    _xlfn.TEXTJOIN(", ", TRUE,
        _xlfn._xlws.FILTER([1]TC!A:A, TRIM([1]TC!L:L) = TRIM(A6))
    ),
    ""
)</f>
        <v>TC_Auth_008</v>
      </c>
      <c r="L6" s="20" t="s">
        <v>36</v>
      </c>
    </row>
    <row r="7" spans="1:12" ht="112.5" x14ac:dyDescent="0.25">
      <c r="A7" s="6" t="s">
        <v>118</v>
      </c>
      <c r="B7" s="3" t="s">
        <v>111</v>
      </c>
      <c r="C7" s="3" t="s">
        <v>125</v>
      </c>
      <c r="D7" s="3" t="s">
        <v>112</v>
      </c>
      <c r="E7" s="3" t="s">
        <v>106</v>
      </c>
      <c r="F7" s="20" t="s">
        <v>23</v>
      </c>
      <c r="G7" s="20" t="s">
        <v>12</v>
      </c>
      <c r="H7" s="20" t="s">
        <v>29</v>
      </c>
      <c r="I7" s="3" t="s">
        <v>37</v>
      </c>
      <c r="J7" s="20" t="e" vm="5">
        <v>#VALUE!</v>
      </c>
      <c r="K7" s="3" t="str" cm="1">
        <f t="array" ref="K7">IFERROR(
    _xlfn.TEXTJOIN(", ", TRUE,
        _xlfn._xlws.FILTER([1]TC!A:A, TRIM([1]TC!L:L) = TRIM(A7))
    ),
    ""
)</f>
        <v>TC_Auth_011</v>
      </c>
      <c r="L7" s="20" t="s">
        <v>36</v>
      </c>
    </row>
    <row r="8" spans="1:12" ht="112.5" x14ac:dyDescent="0.25">
      <c r="A8" s="6" t="s">
        <v>119</v>
      </c>
      <c r="B8" s="3" t="s">
        <v>127</v>
      </c>
      <c r="C8" s="3" t="s">
        <v>126</v>
      </c>
      <c r="D8" s="3" t="s">
        <v>120</v>
      </c>
      <c r="E8" s="3" t="s">
        <v>106</v>
      </c>
      <c r="F8" s="20" t="s">
        <v>23</v>
      </c>
      <c r="G8" s="20" t="s">
        <v>12</v>
      </c>
      <c r="H8" s="20" t="s">
        <v>29</v>
      </c>
      <c r="I8" s="3" t="s">
        <v>37</v>
      </c>
      <c r="J8" s="20" t="e" vm="6">
        <v>#VALUE!</v>
      </c>
      <c r="K8" s="3" t="str" cm="1">
        <f t="array" ref="K8">IFERROR(
    _xlfn.TEXTJOIN(", ", TRUE,
        _xlfn._xlws.FILTER([1]TC!A:A, TRIM([1]TC!L:L) = TRIM(A8))
    ),
    ""
)</f>
        <v>TC_Auth_012</v>
      </c>
      <c r="L8" s="20" t="s">
        <v>36</v>
      </c>
    </row>
    <row r="9" spans="1:12" ht="112.5" x14ac:dyDescent="0.25">
      <c r="A9" s="6" t="s">
        <v>128</v>
      </c>
      <c r="B9" s="3" t="s">
        <v>127</v>
      </c>
      <c r="C9" s="3" t="s">
        <v>130</v>
      </c>
      <c r="D9" s="3" t="s">
        <v>129</v>
      </c>
      <c r="E9" s="3" t="s">
        <v>106</v>
      </c>
      <c r="F9" s="20" t="s">
        <v>23</v>
      </c>
      <c r="G9" s="20" t="s">
        <v>12</v>
      </c>
      <c r="H9" s="20" t="s">
        <v>29</v>
      </c>
      <c r="I9" s="3" t="s">
        <v>37</v>
      </c>
      <c r="J9" s="20" t="e" vm="6">
        <v>#VALUE!</v>
      </c>
      <c r="K9" s="3" t="str" cm="1">
        <f t="array" ref="K9">IFERROR(
    _xlfn.TEXTJOIN(", ", TRUE,
        _xlfn._xlws.FILTER([1]TC!A:A, TRIM([1]TC!L:L) = TRIM(A9))
    ),
    ""
)</f>
        <v>TC_Auth_013</v>
      </c>
      <c r="L9" s="20" t="s">
        <v>36</v>
      </c>
    </row>
    <row r="10" spans="1:12" ht="112.5" x14ac:dyDescent="0.25">
      <c r="A10" s="6" t="s">
        <v>131</v>
      </c>
      <c r="B10" s="3" t="s">
        <v>127</v>
      </c>
      <c r="C10" s="3" t="s">
        <v>133</v>
      </c>
      <c r="D10" s="3" t="s">
        <v>134</v>
      </c>
      <c r="E10" s="3" t="s">
        <v>106</v>
      </c>
      <c r="F10" s="20" t="s">
        <v>23</v>
      </c>
      <c r="G10" s="20" t="s">
        <v>12</v>
      </c>
      <c r="H10" s="20" t="s">
        <v>29</v>
      </c>
      <c r="I10" s="3" t="s">
        <v>37</v>
      </c>
      <c r="J10" s="20" t="e" vm="6">
        <v>#VALUE!</v>
      </c>
      <c r="K10" s="3" t="str" cm="1">
        <f t="array" ref="K10">IFERROR(
    _xlfn.TEXTJOIN(", ", TRUE,
        _xlfn._xlws.FILTER([1]TC!A:A, TRIM([1]TC!L:L) = TRIM(A10))
    ),
    ""
)</f>
        <v>TC_Auth_014</v>
      </c>
      <c r="L10" s="20" t="s">
        <v>36</v>
      </c>
    </row>
    <row r="11" spans="1:12" ht="112.5" x14ac:dyDescent="0.25">
      <c r="A11" s="6" t="s">
        <v>132</v>
      </c>
      <c r="B11" s="3" t="s">
        <v>136</v>
      </c>
      <c r="C11" s="3" t="s">
        <v>137</v>
      </c>
      <c r="D11" s="3" t="s">
        <v>138</v>
      </c>
      <c r="E11" s="3" t="s">
        <v>106</v>
      </c>
      <c r="F11" s="20" t="s">
        <v>23</v>
      </c>
      <c r="G11" s="20" t="s">
        <v>12</v>
      </c>
      <c r="H11" s="20" t="s">
        <v>29</v>
      </c>
      <c r="I11" s="3" t="s">
        <v>37</v>
      </c>
      <c r="J11" s="20" t="e" vm="6">
        <v>#VALUE!</v>
      </c>
      <c r="K11" s="3" t="str" cm="1">
        <f t="array" ref="K11">IFERROR(
    _xlfn.TEXTJOIN(", ", TRUE,
        _xlfn._xlws.FILTER([1]TC!A:A, TRIM([1]TC!L:L) = TRIM(A11))
    ),
    ""
)</f>
        <v>TC_Auth_015</v>
      </c>
      <c r="L11" s="20" t="s">
        <v>36</v>
      </c>
    </row>
  </sheetData>
  <phoneticPr fontId="1" type="noConversion"/>
  <conditionalFormatting sqref="F2:F11">
    <cfRule type="cellIs" dxfId="5" priority="4" operator="equal">
      <formula>"Low"</formula>
    </cfRule>
    <cfRule type="cellIs" dxfId="4" priority="5" operator="equal">
      <formula>"Medium"</formula>
    </cfRule>
    <cfRule type="cellIs" dxfId="3" priority="6" operator="equal">
      <formula>"High"</formula>
    </cfRule>
  </conditionalFormatting>
  <conditionalFormatting sqref="G2:G11 K2:L11">
    <cfRule type="cellIs" dxfId="2" priority="7" operator="equal">
      <formula>"Minor"</formula>
    </cfRule>
    <cfRule type="cellIs" dxfId="1" priority="8" operator="equal">
      <formula>"Major"</formula>
    </cfRule>
    <cfRule type="cellIs" dxfId="0" priority="9" operator="equal">
      <formula>"Cretical"</formula>
    </cfRule>
  </conditionalFormatting>
  <dataValidations count="4">
    <dataValidation type="list" allowBlank="1" showInputMessage="1" showErrorMessage="1" sqref="G2:G11" xr:uid="{6D4A732A-2EC7-4B2A-88C2-2A3F186222A7}">
      <formula1>"Cretical,Major,Minor"</formula1>
    </dataValidation>
    <dataValidation type="list" allowBlank="1" showInputMessage="1" showErrorMessage="1" sqref="F2:F11" xr:uid="{61929C82-E3D4-47BC-8353-3AC2BC0D937E}">
      <formula1>"High,Medium,Low"</formula1>
    </dataValidation>
    <dataValidation type="list" allowBlank="1" showInputMessage="1" showErrorMessage="1" sqref="H2:H11" xr:uid="{03E35F61-91AA-4D1A-AC68-1FF7A1A58722}">
      <formula1>"Open,Asssigned to,in progress,Retest,Closed,Rejected,Deferred,Duplicate"</formula1>
    </dataValidation>
    <dataValidation type="list" allowBlank="1" showInputMessage="1" showErrorMessage="1" sqref="L2:L11" xr:uid="{8F0823FA-B481-499D-8225-1F9008A4B5A3}">
      <formula1>"Every Time,Hardly Ever,Occasionally,Once"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BC1F1-6DCA-4087-9CEE-6FD291ABA099}">
  <dimension ref="A1:D4"/>
  <sheetViews>
    <sheetView zoomScale="107" workbookViewId="0">
      <selection activeCell="C3" sqref="C3"/>
    </sheetView>
  </sheetViews>
  <sheetFormatPr defaultRowHeight="15" x14ac:dyDescent="0.25"/>
  <cols>
    <col min="1" max="16384" width="9.140625" style="25"/>
  </cols>
  <sheetData>
    <row r="1" spans="1:4" x14ac:dyDescent="0.25">
      <c r="A1" s="24" t="s">
        <v>140</v>
      </c>
      <c r="B1" s="24" t="s">
        <v>141</v>
      </c>
      <c r="C1" s="24" t="s">
        <v>142</v>
      </c>
      <c r="D1" s="24" t="s">
        <v>143</v>
      </c>
    </row>
    <row r="2" spans="1:4" x14ac:dyDescent="0.25">
      <c r="A2" s="24" t="s">
        <v>144</v>
      </c>
      <c r="B2" s="24" t="b">
        <v>1</v>
      </c>
      <c r="C2" s="24" t="b">
        <v>0</v>
      </c>
      <c r="D2" s="26" t="s">
        <v>147</v>
      </c>
    </row>
    <row r="3" spans="1:4" x14ac:dyDescent="0.25">
      <c r="A3" s="24" t="s">
        <v>145</v>
      </c>
      <c r="B3" s="24" t="b">
        <v>1</v>
      </c>
      <c r="C3" s="26" t="s">
        <v>147</v>
      </c>
      <c r="D3" s="24" t="b">
        <v>0</v>
      </c>
    </row>
    <row r="4" spans="1:4" x14ac:dyDescent="0.25">
      <c r="A4" s="24" t="s">
        <v>146</v>
      </c>
      <c r="B4" s="24" t="b">
        <v>1</v>
      </c>
      <c r="C4" s="24" t="b">
        <v>0</v>
      </c>
      <c r="D4" s="2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TC</vt:lpstr>
      <vt:lpstr>Bug</vt:lpstr>
      <vt:lpstr>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Wageh</dc:creator>
  <cp:lastModifiedBy>Kerolos George Attia</cp:lastModifiedBy>
  <dcterms:created xsi:type="dcterms:W3CDTF">2015-06-05T18:17:20Z</dcterms:created>
  <dcterms:modified xsi:type="dcterms:W3CDTF">2025-11-30T13:33:36Z</dcterms:modified>
</cp:coreProperties>
</file>